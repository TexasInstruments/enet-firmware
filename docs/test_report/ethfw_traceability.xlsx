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aveExternalLinkValues="0" defaultThemeVersion="124226"/>
  <bookViews>
    <workbookView xWindow="996" yWindow="996" windowWidth="15000" windowHeight="9996" activeTab="1"/>
  </bookViews>
  <sheets>
    <sheet name="Summary" sheetId="1" r:id="rId1"/>
    <sheet name="Details" sheetId="2" r:id="rId2"/>
  </sheets>
  <calcPr calcId="145621"/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</calcChain>
</file>

<file path=xl/sharedStrings.xml><?xml version="1.0" encoding="utf-8"?>
<sst xmlns="http://schemas.openxmlformats.org/spreadsheetml/2006/main" count="103" uniqueCount="60">
  <si>
    <t>Total Requirement(s)</t>
  </si>
  <si>
    <t># of TC Blocked</t>
  </si>
  <si>
    <t>Platform</t>
  </si>
  <si>
    <t>ETHFW-158 : EthFW OS Test - CPSW LLD validation</t>
  </si>
  <si>
    <t># of TC Not Run</t>
  </si>
  <si>
    <t>ETHSWITCHFW_J7_00.08.00_EA8</t>
  </si>
  <si>
    <t>MRD ID</t>
  </si>
  <si>
    <t>Category</t>
  </si>
  <si>
    <t>SPS ID</t>
  </si>
  <si>
    <t>ADAS_SW-240,ADAS_SW-378</t>
  </si>
  <si>
    <t>100 %</t>
  </si>
  <si>
    <t>Count</t>
  </si>
  <si>
    <t>SUMMARY</t>
  </si>
  <si>
    <t>[EthFW]Switching on all external ports on VLAB</t>
  </si>
  <si>
    <t>Copyright ©2019 Texas Instruments Incorporated</t>
  </si>
  <si>
    <t>Date</t>
  </si>
  <si>
    <t>ETHFW-159 : EthFW OS Test - TI RTOS integration</t>
  </si>
  <si>
    <t>ETHFW-160 : EthFW System Test - TISCI client Driver Integration</t>
  </si>
  <si>
    <t>[EthFW][System]Driver Integration:GPTIMER: GPTIMER driver should be integrated</t>
  </si>
  <si>
    <t>J7-PRESI</t>
  </si>
  <si>
    <t>ETHFW-182 : Switching on all external ports on VLAB</t>
  </si>
  <si>
    <t>ETHFW-163 : EthFW System Test - UART Driver Integration</t>
  </si>
  <si>
    <t>[EthFW][System]Driver Integration:TISCI: TISCI client driver should be integrated for DMSC IPC</t>
  </si>
  <si>
    <t>[EthFW][OS]OS:TI RTOS: TI RTOS should be integrated into the switch firmware</t>
  </si>
  <si>
    <t>ETHFW-156 : EthFW EMAC OSAL Test - Baremetal implementation</t>
  </si>
  <si>
    <t>Overall Status</t>
  </si>
  <si>
    <t>Status</t>
  </si>
  <si>
    <t>[EthFW][System]Driver Integration:PMU: PMU driver should be integrated</t>
  </si>
  <si>
    <t>Passed</t>
  </si>
  <si>
    <t>Completely Satisfied</t>
  </si>
  <si>
    <t>ADAS_SW-378,ADAS_SW-380</t>
  </si>
  <si>
    <t>%</t>
  </si>
  <si>
    <t>Release</t>
  </si>
  <si>
    <t>[EthFW][OS]OS:cpsw_lld should be validated on  split mode variant of TI RTOS config</t>
  </si>
  <si>
    <t>OS(s)</t>
  </si>
  <si>
    <t>[EthFW][OS]OSAL:EMAC Osal: TI RTOS implementation of EMAL osal interface should be integrated into the switch firmware</t>
  </si>
  <si>
    <t>All</t>
  </si>
  <si>
    <t># of TC Not Available</t>
  </si>
  <si>
    <t>[EthFW][System]Driver Integration:UART: UART driver should be integrated and used for development time log prints</t>
  </si>
  <si>
    <t>Platform(s)</t>
  </si>
  <si>
    <t>No TC Mapping</t>
  </si>
  <si>
    <t>9</t>
  </si>
  <si>
    <t>ETHFW-157 : EthFW EMAC OSAL Test - TI RTOS implementation</t>
  </si>
  <si>
    <t>Satisfied</t>
  </si>
  <si>
    <t>Requirements To Testcase Case Summary</t>
  </si>
  <si>
    <t>Not satisfied (&lt;50% TC Passing)</t>
  </si>
  <si>
    <t>ETHFW-162 : EthFW System Test - PMU Driver Integration</t>
  </si>
  <si>
    <t># of TC Passed</t>
  </si>
  <si>
    <t>TC Details</t>
  </si>
  <si>
    <t>Version</t>
  </si>
  <si>
    <t>Partially satisfied (&gt;=50% TC Passing)</t>
  </si>
  <si>
    <t>IMPLEMENTED</t>
  </si>
  <si>
    <t>4/3/2019</t>
  </si>
  <si>
    <t>0 %</t>
  </si>
  <si>
    <t># of TC Failed</t>
  </si>
  <si>
    <t>[EthFW][OS]OSAL:EMAC Osal:Baremetal implementation of EMAL osal interface should be integrated into the switch firmware</t>
  </si>
  <si>
    <t>Stats by Platform (TC View)</t>
  </si>
  <si>
    <t>ETHFW-161 : EthFW System Test - GPTIMER Driver Integration</t>
  </si>
  <si>
    <t>EthFw_J7_00.08.00_EA8</t>
  </si>
  <si>
    <t>Processor SDK Vision :EthFw Requirement to Test Traceability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</si>
</sst>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0"/>
      <name val="Arial"/>
    </font>
    <font>
      <sz val="10"/>
      <color indexed="9"/>
      <name val="Arial"/>
    </font>
    <font>
      <u/>
      <sz val="10"/>
      <color indexed="10"/>
      <name val="Arial"/>
    </font>
  </fonts>
  <fills count="9">
    <fill>
      <patternFill patternType="none"/>
    </fill>
    <fill>
      <patternFill patternType="gray125"/>
    </fill>
    <fill>
      <patternFill patternType="solid">
        <fgColor indexed="15"/>
      </patternFill>
    </fill>
    <fill>
      <patternFill patternType="solid">
        <fgColor indexed="14"/>
      </patternFill>
    </fill>
    <fill>
      <patternFill patternType="solid">
        <fgColor indexed="65"/>
        <bgColor indexed="8"/>
      </patternFill>
    </fill>
    <fill>
      <patternFill patternType="solid">
        <fgColor indexed="11"/>
        <bgColor indexed="16"/>
      </patternFill>
    </fill>
    <fill>
      <patternFill patternType="solid">
        <fgColor indexed="9"/>
        <bgColor indexed="16"/>
      </patternFill>
    </fill>
    <fill>
      <patternFill patternType="solid">
        <fgColor indexed="12"/>
        <bgColor indexed="16"/>
      </patternFill>
    </fill>
    <fill>
      <patternFill patternType="solid">
        <fgColor indexed="13"/>
        <bgColor indexed="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1" fillId="0" borderId="0" xfId="0" applyFont="1"/>
    <xf numFmtId="0" fontId="0" fillId="0" borderId="0" xfId="0"/>
    <xf numFmtId="0" fontId="0" fillId="3" borderId="0" xfId="0" applyFill="1"/>
    <xf numFmtId="0" fontId="0" fillId="2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2" borderId="0" xfId="0" applyFill="1"/>
    <xf numFmtId="0" fontId="2" fillId="4" borderId="0" xfId="0" applyFont="1" applyFill="1" applyAlignment="1">
      <alignment horizontal="center" wrapText="1"/>
    </xf>
    <xf numFmtId="0" fontId="0" fillId="5" borderId="0" xfId="0" applyFont="1" applyFill="1" applyAlignment="1">
      <alignment horizontal="left" vertical="center" wrapText="1"/>
    </xf>
    <xf numFmtId="0" fontId="0" fillId="6" borderId="0" xfId="0" applyFont="1" applyFill="1" applyAlignment="1">
      <alignment horizontal="left" vertical="center" wrapText="1"/>
    </xf>
    <xf numFmtId="0" fontId="0" fillId="3" borderId="0" xfId="0" applyFont="1" applyFill="1" applyAlignment="1">
      <alignment horizontal="center"/>
    </xf>
    <xf numFmtId="0" fontId="0" fillId="0" borderId="0" xfId="0"/>
    <xf numFmtId="0" fontId="0" fillId="7" borderId="0" xfId="0" applyFont="1" applyFill="1" applyAlignment="1">
      <alignment horizontal="center"/>
    </xf>
    <xf numFmtId="0" fontId="0" fillId="8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0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C0C0"/>
      <rgbColor rgb="00FFFFFF"/>
      <rgbColor rgb="000000FF"/>
      <rgbColor rgb="00008000"/>
      <rgbColor rgb="00FFA500"/>
      <rgbColor rgb="00F5DEB3"/>
      <rgbColor rgb="0020B2AA"/>
      <rgbColor rgb="00ADD8E6"/>
      <rgbColor rgb="00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DBEEDD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2:G23"/>
  <sheetViews>
    <sheetView workbookViewId="0">
      <selection activeCell="B4" sqref="B4:G4"/>
    </sheetView>
  </sheetViews>
  <sheetFormatPr defaultColWidth="9.109375" defaultRowHeight="13.2" x14ac:dyDescent="0.25"/>
  <cols>
    <col min="2" max="2" width="35" style="1" customWidth="1"/>
    <col min="3" max="7" width="25" style="1" customWidth="1"/>
  </cols>
  <sheetData>
    <row r="2" spans="2:7" x14ac:dyDescent="0.25">
      <c r="B2" s="11" t="s">
        <v>14</v>
      </c>
      <c r="C2" s="10"/>
      <c r="D2" s="10"/>
      <c r="E2" s="10"/>
      <c r="F2" s="10"/>
      <c r="G2" s="10"/>
    </row>
    <row r="4" spans="2:7" x14ac:dyDescent="0.25">
      <c r="B4" s="12" t="s">
        <v>59</v>
      </c>
      <c r="C4" s="12"/>
      <c r="D4" s="12"/>
      <c r="E4" s="12"/>
      <c r="F4" s="12"/>
      <c r="G4" s="12"/>
    </row>
    <row r="5" spans="2:7" x14ac:dyDescent="0.25">
      <c r="B5" s="2" t="s">
        <v>32</v>
      </c>
      <c r="C5" s="13" t="s">
        <v>58</v>
      </c>
      <c r="D5" s="10"/>
      <c r="E5" s="10"/>
      <c r="F5" s="10"/>
      <c r="G5" s="10"/>
    </row>
    <row r="6" spans="2:7" x14ac:dyDescent="0.25">
      <c r="B6" s="2" t="s">
        <v>15</v>
      </c>
      <c r="C6" s="13" t="s">
        <v>52</v>
      </c>
      <c r="D6" s="10"/>
      <c r="E6" s="10"/>
      <c r="F6" s="10"/>
      <c r="G6" s="10"/>
    </row>
    <row r="7" spans="2:7" x14ac:dyDescent="0.25">
      <c r="B7" s="2" t="s">
        <v>39</v>
      </c>
      <c r="C7" s="13" t="s">
        <v>19</v>
      </c>
      <c r="D7" s="10"/>
      <c r="E7" s="10"/>
      <c r="F7" s="10"/>
      <c r="G7" s="10"/>
    </row>
    <row r="8" spans="2:7" x14ac:dyDescent="0.25">
      <c r="B8" s="2" t="s">
        <v>34</v>
      </c>
      <c r="C8" s="13" t="s">
        <v>36</v>
      </c>
      <c r="D8" s="10"/>
      <c r="E8" s="10"/>
      <c r="F8" s="10"/>
      <c r="G8" s="10"/>
    </row>
    <row r="11" spans="2:7" x14ac:dyDescent="0.25">
      <c r="B11" s="9" t="s">
        <v>44</v>
      </c>
      <c r="C11" s="10"/>
      <c r="D11" s="10"/>
    </row>
    <row r="12" spans="2:7" x14ac:dyDescent="0.25">
      <c r="B12" s="3" t="s">
        <v>7</v>
      </c>
      <c r="C12" s="3" t="s">
        <v>11</v>
      </c>
      <c r="D12" s="3" t="s">
        <v>31</v>
      </c>
    </row>
    <row r="13" spans="2:7" x14ac:dyDescent="0.25">
      <c r="B13" s="1" t="s">
        <v>29</v>
      </c>
      <c r="C13" s="4">
        <v>9</v>
      </c>
      <c r="D13" s="4" t="s">
        <v>10</v>
      </c>
    </row>
    <row r="14" spans="2:7" x14ac:dyDescent="0.25">
      <c r="B14" s="1" t="s">
        <v>50</v>
      </c>
      <c r="C14" s="4">
        <v>0</v>
      </c>
      <c r="D14" s="4" t="s">
        <v>53</v>
      </c>
    </row>
    <row r="15" spans="2:7" x14ac:dyDescent="0.25">
      <c r="B15" s="1" t="s">
        <v>45</v>
      </c>
      <c r="C15" s="4">
        <v>0</v>
      </c>
      <c r="D15" s="4" t="s">
        <v>53</v>
      </c>
    </row>
    <row r="16" spans="2:7" x14ac:dyDescent="0.25">
      <c r="B16" s="1" t="s">
        <v>40</v>
      </c>
      <c r="C16" s="4">
        <v>0</v>
      </c>
      <c r="D16" s="4" t="s">
        <v>53</v>
      </c>
    </row>
    <row r="17" spans="2:7" x14ac:dyDescent="0.25">
      <c r="B17" s="5" t="s">
        <v>0</v>
      </c>
      <c r="C17" s="3" t="s">
        <v>41</v>
      </c>
      <c r="D17" s="3"/>
    </row>
    <row r="21" spans="2:7" x14ac:dyDescent="0.25">
      <c r="B21" s="9" t="s">
        <v>56</v>
      </c>
      <c r="C21" s="10"/>
      <c r="D21" s="10"/>
      <c r="E21" s="10"/>
      <c r="F21" s="10"/>
      <c r="G21" s="10"/>
    </row>
    <row r="22" spans="2:7" x14ac:dyDescent="0.25">
      <c r="B22" s="3" t="s">
        <v>2</v>
      </c>
      <c r="C22" s="3" t="s">
        <v>47</v>
      </c>
      <c r="D22" s="3" t="s">
        <v>54</v>
      </c>
      <c r="E22" s="3" t="s">
        <v>1</v>
      </c>
      <c r="F22" s="3" t="s">
        <v>4</v>
      </c>
      <c r="G22" s="3" t="s">
        <v>37</v>
      </c>
    </row>
    <row r="23" spans="2:7" x14ac:dyDescent="0.25">
      <c r="B23" s="1" t="s">
        <v>19</v>
      </c>
      <c r="C23" s="4">
        <v>9</v>
      </c>
    </row>
  </sheetData>
  <mergeCells count="8">
    <mergeCell ref="B11:D11"/>
    <mergeCell ref="B21:G21"/>
    <mergeCell ref="B2:G2"/>
    <mergeCell ref="B4:G4"/>
    <mergeCell ref="C5:G5"/>
    <mergeCell ref="C6:G6"/>
    <mergeCell ref="C7:G7"/>
    <mergeCell ref="C8:G8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"/>
  <sheetViews>
    <sheetView tabSelected="1" workbookViewId="0">
      <pane ySplit="1" topLeftCell="A2" activePane="bottomLeft" state="frozen"/>
      <selection pane="bottomLeft" activeCell="I1" sqref="I1:I65536"/>
    </sheetView>
  </sheetViews>
  <sheetFormatPr defaultColWidth="15" defaultRowHeight="13.2" x14ac:dyDescent="0.25"/>
  <cols>
    <col min="1" max="2" width="25" style="1" customWidth="1"/>
    <col min="3" max="3" width="50" style="1" customWidth="1"/>
    <col min="4" max="4" width="27" style="1" customWidth="1"/>
    <col min="5" max="6" width="15" style="1" customWidth="1"/>
    <col min="7" max="7" width="50" style="1" customWidth="1"/>
    <col min="8" max="8" width="12" style="1" customWidth="1"/>
  </cols>
  <sheetData>
    <row r="1" spans="1:8" x14ac:dyDescent="0.25">
      <c r="A1" s="6" t="s">
        <v>6</v>
      </c>
      <c r="B1" s="6" t="s">
        <v>8</v>
      </c>
      <c r="C1" s="6" t="s">
        <v>12</v>
      </c>
      <c r="D1" s="6" t="s">
        <v>49</v>
      </c>
      <c r="E1" s="6" t="s">
        <v>26</v>
      </c>
      <c r="F1" s="6" t="s">
        <v>25</v>
      </c>
      <c r="G1" s="6" t="s">
        <v>48</v>
      </c>
      <c r="H1" s="6" t="s">
        <v>19</v>
      </c>
    </row>
    <row r="2" spans="1:8" x14ac:dyDescent="0.25">
      <c r="A2" s="14" t="s">
        <v>9</v>
      </c>
      <c r="B2" s="15" t="str">
        <f>HYPERLINK("https://jira.itg.ti.com/browse/ETHFW-181","ETHFW-181")</f>
        <v>ETHFW-181</v>
      </c>
      <c r="C2" s="14" t="s">
        <v>13</v>
      </c>
      <c r="D2" s="14" t="s">
        <v>5</v>
      </c>
      <c r="E2" s="14" t="s">
        <v>51</v>
      </c>
      <c r="F2" s="16" t="s">
        <v>43</v>
      </c>
      <c r="G2" s="8" t="s">
        <v>20</v>
      </c>
      <c r="H2" s="7" t="s">
        <v>28</v>
      </c>
    </row>
    <row r="3" spans="1:8" ht="26.4" x14ac:dyDescent="0.25">
      <c r="A3" s="14" t="s">
        <v>30</v>
      </c>
      <c r="B3" s="15" t="str">
        <f>HYPERLINK("https://jira.itg.ti.com/browse/ETHFW-37","ETHFW-37")</f>
        <v>ETHFW-37</v>
      </c>
      <c r="C3" s="14" t="s">
        <v>38</v>
      </c>
      <c r="D3" s="14" t="s">
        <v>5</v>
      </c>
      <c r="E3" s="14" t="s">
        <v>51</v>
      </c>
      <c r="F3" s="16" t="s">
        <v>43</v>
      </c>
      <c r="G3" s="8" t="s">
        <v>21</v>
      </c>
      <c r="H3" s="7" t="s">
        <v>28</v>
      </c>
    </row>
    <row r="4" spans="1:8" ht="26.4" x14ac:dyDescent="0.25">
      <c r="A4" s="14" t="s">
        <v>30</v>
      </c>
      <c r="B4" s="15" t="str">
        <f>HYPERLINK("https://jira.itg.ti.com/browse/ETHFW-38","ETHFW-38")</f>
        <v>ETHFW-38</v>
      </c>
      <c r="C4" s="14" t="s">
        <v>27</v>
      </c>
      <c r="D4" s="14" t="s">
        <v>5</v>
      </c>
      <c r="E4" s="14" t="s">
        <v>51</v>
      </c>
      <c r="F4" s="16" t="s">
        <v>43</v>
      </c>
      <c r="G4" s="8" t="s">
        <v>46</v>
      </c>
      <c r="H4" s="7" t="s">
        <v>28</v>
      </c>
    </row>
    <row r="5" spans="1:8" ht="26.4" x14ac:dyDescent="0.25">
      <c r="A5" s="14" t="s">
        <v>30</v>
      </c>
      <c r="B5" s="15" t="str">
        <f>HYPERLINK("https://jira.itg.ti.com/browse/ETHFW-39","ETHFW-39")</f>
        <v>ETHFW-39</v>
      </c>
      <c r="C5" s="14" t="s">
        <v>18</v>
      </c>
      <c r="D5" s="14" t="s">
        <v>5</v>
      </c>
      <c r="E5" s="14" t="s">
        <v>51</v>
      </c>
      <c r="F5" s="16" t="s">
        <v>43</v>
      </c>
      <c r="G5" s="8" t="s">
        <v>57</v>
      </c>
      <c r="H5" s="7" t="s">
        <v>28</v>
      </c>
    </row>
    <row r="6" spans="1:8" ht="26.4" x14ac:dyDescent="0.25">
      <c r="A6" s="14" t="s">
        <v>30</v>
      </c>
      <c r="B6" s="15" t="str">
        <f>HYPERLINK("https://jira.itg.ti.com/browse/ETHFW-41","ETHFW-41")</f>
        <v>ETHFW-41</v>
      </c>
      <c r="C6" s="14" t="s">
        <v>22</v>
      </c>
      <c r="D6" s="14" t="s">
        <v>5</v>
      </c>
      <c r="E6" s="14" t="s">
        <v>51</v>
      </c>
      <c r="F6" s="16" t="s">
        <v>43</v>
      </c>
      <c r="G6" s="8" t="s">
        <v>17</v>
      </c>
      <c r="H6" s="7" t="s">
        <v>28</v>
      </c>
    </row>
    <row r="7" spans="1:8" x14ac:dyDescent="0.25">
      <c r="A7" s="14" t="s">
        <v>30</v>
      </c>
      <c r="B7" s="15" t="str">
        <f>HYPERLINK("https://jira.itg.ti.com/browse/ETHFW-54","ETHFW-54")</f>
        <v>ETHFW-54</v>
      </c>
      <c r="C7" s="14" t="s">
        <v>23</v>
      </c>
      <c r="D7" s="14" t="s">
        <v>5</v>
      </c>
      <c r="E7" s="14" t="s">
        <v>51</v>
      </c>
      <c r="F7" s="16" t="s">
        <v>43</v>
      </c>
      <c r="G7" s="8" t="s">
        <v>16</v>
      </c>
      <c r="H7" s="7" t="s">
        <v>28</v>
      </c>
    </row>
    <row r="8" spans="1:8" x14ac:dyDescent="0.25">
      <c r="A8" s="14" t="s">
        <v>30</v>
      </c>
      <c r="B8" s="15" t="str">
        <f>HYPERLINK("https://jira.itg.ti.com/browse/ETHFW-56","ETHFW-56")</f>
        <v>ETHFW-56</v>
      </c>
      <c r="C8" s="14" t="s">
        <v>33</v>
      </c>
      <c r="D8" s="14" t="s">
        <v>5</v>
      </c>
      <c r="E8" s="14" t="s">
        <v>51</v>
      </c>
      <c r="F8" s="16" t="s">
        <v>43</v>
      </c>
      <c r="G8" s="8" t="s">
        <v>3</v>
      </c>
      <c r="H8" s="7" t="s">
        <v>28</v>
      </c>
    </row>
    <row r="9" spans="1:8" ht="26.4" x14ac:dyDescent="0.25">
      <c r="A9" s="14" t="s">
        <v>30</v>
      </c>
      <c r="B9" s="15" t="str">
        <f>HYPERLINK("https://jira.itg.ti.com/browse/ETHFW-57","ETHFW-57")</f>
        <v>ETHFW-57</v>
      </c>
      <c r="C9" s="14" t="s">
        <v>35</v>
      </c>
      <c r="D9" s="14" t="s">
        <v>5</v>
      </c>
      <c r="E9" s="14" t="s">
        <v>51</v>
      </c>
      <c r="F9" s="16" t="s">
        <v>43</v>
      </c>
      <c r="G9" s="8" t="s">
        <v>42</v>
      </c>
      <c r="H9" s="7" t="s">
        <v>28</v>
      </c>
    </row>
    <row r="10" spans="1:8" ht="26.4" x14ac:dyDescent="0.25">
      <c r="A10" s="14" t="s">
        <v>30</v>
      </c>
      <c r="B10" s="15" t="str">
        <f>HYPERLINK("https://jira.itg.ti.com/browse/ETHFW-58","ETHFW-58")</f>
        <v>ETHFW-58</v>
      </c>
      <c r="C10" s="14" t="s">
        <v>55</v>
      </c>
      <c r="D10" s="14" t="s">
        <v>5</v>
      </c>
      <c r="E10" s="14" t="s">
        <v>51</v>
      </c>
      <c r="F10" s="16" t="s">
        <v>43</v>
      </c>
      <c r="G10" s="8" t="s">
        <v>24</v>
      </c>
      <c r="H10" s="7" t="s">
        <v>28</v>
      </c>
    </row>
  </sheetData>
  <mergeCells count="54">
    <mergeCell ref="A2"/>
    <mergeCell ref="B2"/>
    <mergeCell ref="C2"/>
    <mergeCell ref="D2"/>
    <mergeCell ref="E2"/>
    <mergeCell ref="F2"/>
    <mergeCell ref="A3"/>
    <mergeCell ref="B3"/>
    <mergeCell ref="C3"/>
    <mergeCell ref="D3"/>
    <mergeCell ref="E3"/>
    <mergeCell ref="F3"/>
    <mergeCell ref="A4"/>
    <mergeCell ref="B4"/>
    <mergeCell ref="C4"/>
    <mergeCell ref="D4"/>
    <mergeCell ref="E4"/>
    <mergeCell ref="F4"/>
    <mergeCell ref="A5"/>
    <mergeCell ref="B5"/>
    <mergeCell ref="C5"/>
    <mergeCell ref="D5"/>
    <mergeCell ref="E5"/>
    <mergeCell ref="F5"/>
    <mergeCell ref="A6"/>
    <mergeCell ref="B6"/>
    <mergeCell ref="C6"/>
    <mergeCell ref="D6"/>
    <mergeCell ref="E6"/>
    <mergeCell ref="F6"/>
    <mergeCell ref="A7"/>
    <mergeCell ref="B7"/>
    <mergeCell ref="C7"/>
    <mergeCell ref="D7"/>
    <mergeCell ref="E7"/>
    <mergeCell ref="F7"/>
    <mergeCell ref="A8"/>
    <mergeCell ref="B8"/>
    <mergeCell ref="C8"/>
    <mergeCell ref="D8"/>
    <mergeCell ref="E8"/>
    <mergeCell ref="F8"/>
    <mergeCell ref="A9"/>
    <mergeCell ref="B9"/>
    <mergeCell ref="C9"/>
    <mergeCell ref="D9"/>
    <mergeCell ref="E9"/>
    <mergeCell ref="F9"/>
    <mergeCell ref="A10"/>
    <mergeCell ref="B10"/>
    <mergeCell ref="C10"/>
    <mergeCell ref="D10"/>
    <mergeCell ref="E10"/>
    <mergeCell ref="F10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Jondhale, Prasad</dc:creator>
  <cp:lastModifiedBy>Jondhale, Prasad</cp:lastModifiedBy>
  <dcterms:created xsi:type="dcterms:W3CDTF">2019-04-03T14:18:36Z</dcterms:created>
  <dcterms:modified xsi:type="dcterms:W3CDTF">2019-04-03T14:18:36Z</dcterms:modified>
</cp:coreProperties>
</file>